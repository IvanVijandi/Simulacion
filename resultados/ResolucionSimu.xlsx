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vija\Desktop\Simulacion\resultados\"/>
    </mc:Choice>
  </mc:AlternateContent>
  <xr:revisionPtr revIDLastSave="0" documentId="8_{4D85CFE9-6987-4983-9C79-DCACB9C7208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imulacion" sheetId="1" r:id="rId1"/>
    <sheet name="Resultado ANOVA y Modelo" sheetId="6" r:id="rId2"/>
    <sheet name="Modelo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N2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<sst xmlns="http://schemas.openxmlformats.org/spreadsheetml/2006/main" count="74" uniqueCount="39">
  <si>
    <t>corrida</t>
  </si>
  <si>
    <t>replica</t>
  </si>
  <si>
    <t>A_nivel</t>
  </si>
  <si>
    <t>S_nivel</t>
  </si>
  <si>
    <t>R_nivel</t>
  </si>
  <si>
    <t>A</t>
  </si>
  <si>
    <t>S</t>
  </si>
  <si>
    <t>R</t>
  </si>
  <si>
    <t>Wq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</si>
  <si>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</si>
  <si>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</si>
  <si>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</si>
  <si>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</si>
  <si>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</si>
  <si>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</si>
  <si>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</si>
  <si>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</si>
  <si>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</si>
  <si>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</si>
  <si>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</si>
  <si>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</si>
  <si>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</si>
  <si>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</si>
  <si>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</si>
  <si>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</si>
  <si>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</si>
  <si>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</si>
  <si>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</si>
  <si>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</si>
  <si>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</si>
  <si>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</si>
  <si>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</si>
  <si>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</si>
  <si>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Análisis de los residuales</t>
  </si>
  <si>
    <t>Observación</t>
  </si>
  <si>
    <t>Wq Promedio</t>
  </si>
  <si>
    <t>Pronóstico Wq Promedio</t>
  </si>
  <si>
    <t>Calculamos modelo con variables A y R, ya que fuerona las mas significativas</t>
  </si>
  <si>
    <t>Wq = -215*A+262*R+1077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</si>
</sst>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2" xfId="0" applyFill="1" applyBorder="1" applyAlignment="1"/>
    <xf numFmtId="0" fontId="0" fillId="3" borderId="0" xfId="0" applyFont="1" applyFill="1" applyBorder="1" applyAlignmen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workbookViewId="0">
      <selection activeCell="A2" sqref="A2:E28"/>
    </sheetView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2</v>
      </c>
      <c r="L1" t="s">
        <v>4</v>
      </c>
      <c r="M1" t="s">
        <v>3</v>
      </c>
      <c r="N1" t="s">
        <v>35</v>
      </c>
    </row>
    <row r="2" spans="1:14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15.40471735186348</v>
      </c>
      <c r="G2">
        <v>346.48081496517767</v>
      </c>
      <c r="H2">
        <v>1126.089602991708</v>
      </c>
      <c r="I2">
        <v>1473.170297913839</v>
      </c>
      <c r="K2">
        <v>1</v>
      </c>
      <c r="L2">
        <v>1</v>
      </c>
      <c r="M2">
        <v>1</v>
      </c>
      <c r="N2">
        <f>AVERAGE(I2:I4)</f>
        <v>1299.1514715945741</v>
      </c>
    </row>
    <row r="3" spans="1:14" x14ac:dyDescent="0.25">
      <c r="A3">
        <v>1</v>
      </c>
      <c r="B3">
        <v>2</v>
      </c>
      <c r="C3">
        <v>1</v>
      </c>
      <c r="D3">
        <v>1</v>
      </c>
      <c r="E3">
        <v>1</v>
      </c>
      <c r="F3">
        <v>15.536152129442749</v>
      </c>
      <c r="G3">
        <v>382.92276629476828</v>
      </c>
      <c r="H3">
        <v>1014.547261666698</v>
      </c>
      <c r="I3">
        <v>948.69984107350251</v>
      </c>
      <c r="K3">
        <v>1</v>
      </c>
      <c r="L3">
        <v>-1</v>
      </c>
      <c r="M3">
        <v>1</v>
      </c>
      <c r="N3">
        <f>AVERAGE(I5:I7)</f>
        <v>664.20316168901797</v>
      </c>
    </row>
    <row r="4" spans="1:14" x14ac:dyDescent="0.25">
      <c r="A4">
        <v>1</v>
      </c>
      <c r="B4">
        <v>3</v>
      </c>
      <c r="C4">
        <v>1</v>
      </c>
      <c r="D4">
        <v>1</v>
      </c>
      <c r="E4">
        <v>1</v>
      </c>
      <c r="F4">
        <v>16.151573947365542</v>
      </c>
      <c r="G4">
        <v>358.0711479467659</v>
      </c>
      <c r="H4">
        <v>833.90536557270684</v>
      </c>
      <c r="I4">
        <v>1475.584275796381</v>
      </c>
      <c r="K4">
        <v>1</v>
      </c>
      <c r="L4">
        <v>1</v>
      </c>
      <c r="M4">
        <v>-1</v>
      </c>
      <c r="N4">
        <f>AVERAGE(I8:I10)</f>
        <v>1000.9604381599037</v>
      </c>
    </row>
    <row r="5" spans="1:14" x14ac:dyDescent="0.25">
      <c r="A5">
        <v>2</v>
      </c>
      <c r="B5">
        <v>1</v>
      </c>
      <c r="C5">
        <v>1</v>
      </c>
      <c r="D5">
        <v>1</v>
      </c>
      <c r="E5">
        <v>-1</v>
      </c>
      <c r="F5">
        <v>15.69374314449399</v>
      </c>
      <c r="G5">
        <v>329.71030095826831</v>
      </c>
      <c r="H5">
        <v>803.81658399552475</v>
      </c>
      <c r="I5">
        <v>570.1109003846318</v>
      </c>
      <c r="K5">
        <v>1</v>
      </c>
      <c r="L5">
        <v>-1</v>
      </c>
      <c r="M5">
        <v>-1</v>
      </c>
      <c r="N5">
        <f>AVERAGE(I11:I13)</f>
        <v>610.96287435256954</v>
      </c>
    </row>
    <row r="6" spans="1:14" x14ac:dyDescent="0.25">
      <c r="A6">
        <v>2</v>
      </c>
      <c r="B6">
        <v>2</v>
      </c>
      <c r="C6">
        <v>1</v>
      </c>
      <c r="D6">
        <v>1</v>
      </c>
      <c r="E6">
        <v>-1</v>
      </c>
      <c r="F6">
        <v>16.568244012836871</v>
      </c>
      <c r="G6">
        <v>350.54130372058171</v>
      </c>
      <c r="H6">
        <v>1113.414694339109</v>
      </c>
      <c r="I6">
        <v>980.23183979189776</v>
      </c>
      <c r="K6">
        <v>-1</v>
      </c>
      <c r="L6">
        <v>1</v>
      </c>
      <c r="M6">
        <v>1</v>
      </c>
      <c r="N6">
        <f>AVERAGE(I14:I16)</f>
        <v>1547.6031835213846</v>
      </c>
    </row>
    <row r="7" spans="1:14" x14ac:dyDescent="0.25">
      <c r="A7">
        <v>2</v>
      </c>
      <c r="B7">
        <v>3</v>
      </c>
      <c r="C7">
        <v>1</v>
      </c>
      <c r="D7">
        <v>1</v>
      </c>
      <c r="E7">
        <v>-1</v>
      </c>
      <c r="F7">
        <v>17.166730898233279</v>
      </c>
      <c r="G7">
        <v>370.3199549067154</v>
      </c>
      <c r="H7">
        <v>574.47819267308716</v>
      </c>
      <c r="I7">
        <v>442.26674489052419</v>
      </c>
      <c r="K7">
        <v>-1</v>
      </c>
      <c r="L7">
        <v>-1</v>
      </c>
      <c r="M7">
        <v>1</v>
      </c>
      <c r="N7">
        <f>AVERAGE(I17:I19)</f>
        <v>1163.2700198286004</v>
      </c>
    </row>
    <row r="8" spans="1:14" x14ac:dyDescent="0.25">
      <c r="A8">
        <v>3</v>
      </c>
      <c r="B8">
        <v>1</v>
      </c>
      <c r="C8">
        <v>1</v>
      </c>
      <c r="D8">
        <v>-1</v>
      </c>
      <c r="E8">
        <v>1</v>
      </c>
      <c r="F8">
        <v>15.72655916246754</v>
      </c>
      <c r="G8">
        <v>251.6919945259649</v>
      </c>
      <c r="H8">
        <v>971.20679574280689</v>
      </c>
      <c r="I8">
        <v>1218.434801815813</v>
      </c>
      <c r="K8">
        <v>-1</v>
      </c>
      <c r="L8">
        <v>1</v>
      </c>
      <c r="M8">
        <v>-1</v>
      </c>
      <c r="N8">
        <f>AVERAGE(I20:I22)</f>
        <v>1635.9451686883849</v>
      </c>
    </row>
    <row r="9" spans="1:14" x14ac:dyDescent="0.25">
      <c r="A9">
        <v>3</v>
      </c>
      <c r="B9">
        <v>2</v>
      </c>
      <c r="C9">
        <v>1</v>
      </c>
      <c r="D9">
        <v>-1</v>
      </c>
      <c r="E9">
        <v>1</v>
      </c>
      <c r="F9">
        <v>16.449336933649271</v>
      </c>
      <c r="G9">
        <v>231.18923624225459</v>
      </c>
      <c r="H9">
        <v>1030.988589551758</v>
      </c>
      <c r="I9">
        <v>523.97482785250475</v>
      </c>
      <c r="K9">
        <v>-1</v>
      </c>
      <c r="L9">
        <v>-1</v>
      </c>
      <c r="M9">
        <v>-1</v>
      </c>
      <c r="N9">
        <f>AVERAGE(I23:I25)</f>
        <v>948.69001802314096</v>
      </c>
    </row>
    <row r="10" spans="1:14" x14ac:dyDescent="0.25">
      <c r="A10">
        <v>3</v>
      </c>
      <c r="B10">
        <v>3</v>
      </c>
      <c r="C10">
        <v>1</v>
      </c>
      <c r="D10">
        <v>-1</v>
      </c>
      <c r="E10">
        <v>1</v>
      </c>
      <c r="F10">
        <v>16.41323436577478</v>
      </c>
      <c r="G10">
        <v>253.1454254441764</v>
      </c>
      <c r="H10">
        <v>874.16985693503261</v>
      </c>
      <c r="I10">
        <v>1260.4716848113931</v>
      </c>
      <c r="K10">
        <v>0</v>
      </c>
      <c r="L10">
        <v>0</v>
      </c>
      <c r="M10">
        <v>0</v>
      </c>
      <c r="N10">
        <f>AVERAGE(I26:I28)</f>
        <v>822.77129113476258</v>
      </c>
    </row>
    <row r="11" spans="1:14" x14ac:dyDescent="0.25">
      <c r="A11">
        <v>4</v>
      </c>
      <c r="B11">
        <v>1</v>
      </c>
      <c r="C11">
        <v>1</v>
      </c>
      <c r="D11">
        <v>-1</v>
      </c>
      <c r="E11">
        <v>-1</v>
      </c>
      <c r="F11">
        <v>16.955510890086739</v>
      </c>
      <c r="G11">
        <v>228.25105869907691</v>
      </c>
      <c r="H11">
        <v>1117.5061537974079</v>
      </c>
      <c r="I11">
        <v>989.13872319587176</v>
      </c>
    </row>
    <row r="12" spans="1:14" x14ac:dyDescent="0.25">
      <c r="A12">
        <v>4</v>
      </c>
      <c r="B12">
        <v>2</v>
      </c>
      <c r="C12">
        <v>1</v>
      </c>
      <c r="D12">
        <v>-1</v>
      </c>
      <c r="E12">
        <v>-1</v>
      </c>
      <c r="F12">
        <v>17.051265344909741</v>
      </c>
      <c r="G12">
        <v>262.07186579031469</v>
      </c>
      <c r="H12">
        <v>531.95903259443185</v>
      </c>
      <c r="I12">
        <v>445.73814972067419</v>
      </c>
    </row>
    <row r="13" spans="1:14" x14ac:dyDescent="0.25">
      <c r="A13">
        <v>4</v>
      </c>
      <c r="B13">
        <v>3</v>
      </c>
      <c r="C13">
        <v>1</v>
      </c>
      <c r="D13">
        <v>-1</v>
      </c>
      <c r="E13">
        <v>-1</v>
      </c>
      <c r="F13">
        <v>16.539590878834559</v>
      </c>
      <c r="G13">
        <v>246.12926568239951</v>
      </c>
      <c r="H13">
        <v>598.2961082787067</v>
      </c>
      <c r="I13">
        <v>398.01175014116268</v>
      </c>
    </row>
    <row r="14" spans="1:14" x14ac:dyDescent="0.25">
      <c r="A14">
        <v>5</v>
      </c>
      <c r="B14">
        <v>1</v>
      </c>
      <c r="C14">
        <v>-1</v>
      </c>
      <c r="D14">
        <v>1</v>
      </c>
      <c r="E14">
        <v>1</v>
      </c>
      <c r="F14">
        <v>11.17442366222441</v>
      </c>
      <c r="G14">
        <v>355.71637834336133</v>
      </c>
      <c r="H14">
        <v>1140.5576902190619</v>
      </c>
      <c r="I14">
        <v>1299.4922726875429</v>
      </c>
    </row>
    <row r="15" spans="1:14" x14ac:dyDescent="0.25">
      <c r="A15">
        <v>5</v>
      </c>
      <c r="B15">
        <v>2</v>
      </c>
      <c r="C15">
        <v>-1</v>
      </c>
      <c r="D15">
        <v>1</v>
      </c>
      <c r="E15">
        <v>1</v>
      </c>
      <c r="F15">
        <v>10.95646896395475</v>
      </c>
      <c r="G15">
        <v>383.91811291972289</v>
      </c>
      <c r="H15">
        <v>843.69530602443751</v>
      </c>
      <c r="I15">
        <v>1478.131521476939</v>
      </c>
    </row>
    <row r="16" spans="1:14" x14ac:dyDescent="0.25">
      <c r="A16">
        <v>5</v>
      </c>
      <c r="B16">
        <v>3</v>
      </c>
      <c r="C16">
        <v>-1</v>
      </c>
      <c r="D16">
        <v>1</v>
      </c>
      <c r="E16">
        <v>1</v>
      </c>
      <c r="F16">
        <v>10.78052853791327</v>
      </c>
      <c r="G16">
        <v>379.86941878301769</v>
      </c>
      <c r="H16">
        <v>1633.3929663241061</v>
      </c>
      <c r="I16">
        <v>1865.1857563996721</v>
      </c>
    </row>
    <row r="17" spans="1:9" x14ac:dyDescent="0.25">
      <c r="A17">
        <v>6</v>
      </c>
      <c r="B17">
        <v>1</v>
      </c>
      <c r="C17">
        <v>-1</v>
      </c>
      <c r="D17">
        <v>1</v>
      </c>
      <c r="E17">
        <v>-1</v>
      </c>
      <c r="F17">
        <v>11.14047938950173</v>
      </c>
      <c r="G17">
        <v>367.2231287830482</v>
      </c>
      <c r="H17">
        <v>677.91887120697709</v>
      </c>
      <c r="I17">
        <v>1031.0901562434369</v>
      </c>
    </row>
    <row r="18" spans="1:9" x14ac:dyDescent="0.25">
      <c r="A18">
        <v>6</v>
      </c>
      <c r="B18">
        <v>2</v>
      </c>
      <c r="C18">
        <v>-1</v>
      </c>
      <c r="D18">
        <v>1</v>
      </c>
      <c r="E18">
        <v>-1</v>
      </c>
      <c r="F18">
        <v>10.77253726041269</v>
      </c>
      <c r="G18">
        <v>355.11733682839741</v>
      </c>
      <c r="H18">
        <v>698.23915225515543</v>
      </c>
      <c r="I18">
        <v>1229.0252622083881</v>
      </c>
    </row>
    <row r="19" spans="1:9" x14ac:dyDescent="0.25">
      <c r="A19">
        <v>6</v>
      </c>
      <c r="B19">
        <v>3</v>
      </c>
      <c r="C19">
        <v>-1</v>
      </c>
      <c r="D19">
        <v>1</v>
      </c>
      <c r="E19">
        <v>-1</v>
      </c>
      <c r="F19">
        <v>10.79091005518292</v>
      </c>
      <c r="G19">
        <v>383.86444294252692</v>
      </c>
      <c r="H19">
        <v>683.45732096900588</v>
      </c>
      <c r="I19">
        <v>1229.694641033976</v>
      </c>
    </row>
    <row r="20" spans="1:9" x14ac:dyDescent="0.25">
      <c r="A20">
        <v>7</v>
      </c>
      <c r="B20">
        <v>1</v>
      </c>
      <c r="C20">
        <v>-1</v>
      </c>
      <c r="D20">
        <v>-1</v>
      </c>
      <c r="E20">
        <v>1</v>
      </c>
      <c r="F20">
        <v>11.26499303699323</v>
      </c>
      <c r="G20">
        <v>243.6474952559536</v>
      </c>
      <c r="H20">
        <v>884.57926042743725</v>
      </c>
      <c r="I20">
        <v>1151.881377842946</v>
      </c>
    </row>
    <row r="21" spans="1:9" x14ac:dyDescent="0.25">
      <c r="A21">
        <v>7</v>
      </c>
      <c r="B21">
        <v>2</v>
      </c>
      <c r="C21">
        <v>-1</v>
      </c>
      <c r="D21">
        <v>-1</v>
      </c>
      <c r="E21">
        <v>1</v>
      </c>
      <c r="F21">
        <v>11.152458794195891</v>
      </c>
      <c r="G21">
        <v>268.40824546272722</v>
      </c>
      <c r="H21">
        <v>1861.4365197801119</v>
      </c>
      <c r="I21">
        <v>1992.15632794057</v>
      </c>
    </row>
    <row r="22" spans="1:9" x14ac:dyDescent="0.25">
      <c r="A22">
        <v>7</v>
      </c>
      <c r="B22">
        <v>3</v>
      </c>
      <c r="C22">
        <v>-1</v>
      </c>
      <c r="D22">
        <v>-1</v>
      </c>
      <c r="E22">
        <v>1</v>
      </c>
      <c r="F22">
        <v>11.423110091888899</v>
      </c>
      <c r="G22">
        <v>240.8935949817307</v>
      </c>
      <c r="H22">
        <v>1037.815805977099</v>
      </c>
      <c r="I22">
        <v>1763.797800281639</v>
      </c>
    </row>
    <row r="23" spans="1:9" x14ac:dyDescent="0.25">
      <c r="A23">
        <v>8</v>
      </c>
      <c r="B23">
        <v>1</v>
      </c>
      <c r="C23">
        <v>-1</v>
      </c>
      <c r="D23">
        <v>-1</v>
      </c>
      <c r="E23">
        <v>-1</v>
      </c>
      <c r="F23">
        <v>11.11950727326264</v>
      </c>
      <c r="G23">
        <v>238.81782942043569</v>
      </c>
      <c r="H23">
        <v>582.67917127492296</v>
      </c>
      <c r="I23">
        <v>754.74302332587047</v>
      </c>
    </row>
    <row r="24" spans="1:9" x14ac:dyDescent="0.25">
      <c r="A24">
        <v>8</v>
      </c>
      <c r="B24">
        <v>2</v>
      </c>
      <c r="C24">
        <v>-1</v>
      </c>
      <c r="D24">
        <v>-1</v>
      </c>
      <c r="E24">
        <v>-1</v>
      </c>
      <c r="F24">
        <v>11.69579193362517</v>
      </c>
      <c r="G24">
        <v>258.36071138005059</v>
      </c>
      <c r="H24">
        <v>631.93460295119473</v>
      </c>
      <c r="I24">
        <v>704.06841787783844</v>
      </c>
    </row>
    <row r="25" spans="1:9" x14ac:dyDescent="0.25">
      <c r="A25">
        <v>8</v>
      </c>
      <c r="B25">
        <v>3</v>
      </c>
      <c r="C25">
        <v>-1</v>
      </c>
      <c r="D25">
        <v>-1</v>
      </c>
      <c r="E25">
        <v>-1</v>
      </c>
      <c r="F25">
        <v>10.79412673653886</v>
      </c>
      <c r="G25">
        <v>263.30328639912511</v>
      </c>
      <c r="H25">
        <v>738.12451385667021</v>
      </c>
      <c r="I25">
        <v>1387.258612865714</v>
      </c>
    </row>
    <row r="26" spans="1:9" x14ac:dyDescent="0.25">
      <c r="A26">
        <v>9</v>
      </c>
      <c r="B26">
        <v>1</v>
      </c>
      <c r="C26">
        <v>0</v>
      </c>
      <c r="D26">
        <v>0</v>
      </c>
      <c r="E26">
        <v>0</v>
      </c>
      <c r="F26">
        <v>13.13402300704495</v>
      </c>
      <c r="G26">
        <v>291.83774193714947</v>
      </c>
      <c r="H26">
        <v>729.76258004593944</v>
      </c>
      <c r="I26">
        <v>811.68168488197364</v>
      </c>
    </row>
    <row r="27" spans="1:9" x14ac:dyDescent="0.25">
      <c r="A27">
        <v>9</v>
      </c>
      <c r="B27">
        <v>2</v>
      </c>
      <c r="C27">
        <v>0</v>
      </c>
      <c r="D27">
        <v>0</v>
      </c>
      <c r="E27">
        <v>0</v>
      </c>
      <c r="F27">
        <v>12.6696515305846</v>
      </c>
      <c r="G27">
        <v>318.92835416064742</v>
      </c>
      <c r="H27">
        <v>647.30439878668744</v>
      </c>
      <c r="I27">
        <v>912.55340371038346</v>
      </c>
    </row>
    <row r="28" spans="1:9" x14ac:dyDescent="0.25">
      <c r="A28">
        <v>9</v>
      </c>
      <c r="B28">
        <v>3</v>
      </c>
      <c r="C28">
        <v>0</v>
      </c>
      <c r="D28">
        <v>0</v>
      </c>
      <c r="E28">
        <v>0</v>
      </c>
      <c r="F28">
        <v>13.31328195514898</v>
      </c>
      <c r="G28">
        <v>298.79191234939702</v>
      </c>
      <c r="H28">
        <v>741.60494411133266</v>
      </c>
      <c r="I28">
        <v>744.07878481193086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F122-5EC2-43FE-AE14-9B8D749B48E2}">
  <dimension ref="A1:P35"/>
  <sheetViews>
    <sheetView workbookViewId="0">
      <selection activeCell="A20" sqref="A20:E20"/>
    </sheetView>
  </sheetViews>
  <sheetFormatPr baseColWidth="10" defaultRowHeight="15" x14ac:dyDescent="0.25"/>
  <cols>
    <col min="1" max="1" width="32.85546875" bestFit="1" customWidth="1"/>
    <col min="2" max="2" width="23.42578125" bestFit="1" customWidth="1"/>
    <col min="3" max="3" width="19" bestFit="1" customWidth="1"/>
    <col min="4" max="4" width="25.42578125" bestFit="1" customWidth="1"/>
    <col min="5" max="5" width="12.7109375" bestFit="1" customWidth="1"/>
    <col min="6" max="6" width="15.85546875" bestFit="1" customWidth="1"/>
    <col min="8" max="8" width="13.5703125" bestFit="1" customWidth="1"/>
    <col min="9" max="9" width="14.42578125" bestFit="1" customWidth="1"/>
  </cols>
  <sheetData>
    <row r="1" spans="1:9" x14ac:dyDescent="0.25">
      <c r="A1" t="s">
        <v>9</v>
      </c>
    </row>
    <row r="2" spans="1:9" ht="15.75" thickBot="1" x14ac:dyDescent="0.3"/>
    <row r="3" spans="1:9" x14ac:dyDescent="0.25">
      <c r="A3" s="5" t="s">
        <v>10</v>
      </c>
      <c r="B3" s="5"/>
    </row>
    <row r="4" spans="1:9" x14ac:dyDescent="0.25">
      <c r="A4" s="2" t="s">
        <v>11</v>
      </c>
      <c r="B4" s="2">
        <v>0.94333254707371761</v>
      </c>
    </row>
    <row r="5" spans="1:9" x14ac:dyDescent="0.25">
      <c r="A5" s="2" t="s">
        <v>12</v>
      </c>
      <c r="B5" s="2">
        <v>0.88987629436858762</v>
      </c>
    </row>
    <row r="6" spans="1:9" x14ac:dyDescent="0.25">
      <c r="A6" s="2" t="s">
        <v>13</v>
      </c>
      <c r="B6" s="2">
        <v>0.82380207098974023</v>
      </c>
    </row>
    <row r="7" spans="1:9" x14ac:dyDescent="0.25">
      <c r="A7" s="2" t="s">
        <v>14</v>
      </c>
      <c r="B7" s="2">
        <v>153.16546850859302</v>
      </c>
    </row>
    <row r="8" spans="1:9" ht="15.75" thickBot="1" x14ac:dyDescent="0.3">
      <c r="A8" s="3" t="s">
        <v>15</v>
      </c>
      <c r="B8" s="3">
        <v>9</v>
      </c>
    </row>
    <row r="10" spans="1:9" ht="15.75" thickBot="1" x14ac:dyDescent="0.3">
      <c r="A10" t="s">
        <v>16</v>
      </c>
    </row>
    <row r="11" spans="1:9" x14ac:dyDescent="0.25">
      <c r="A11" s="4"/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25</v>
      </c>
    </row>
    <row r="12" spans="1:9" x14ac:dyDescent="0.25">
      <c r="A12" s="2" t="s">
        <v>17</v>
      </c>
      <c r="B12" s="2">
        <v>3</v>
      </c>
      <c r="C12" s="2">
        <v>947852.04737864784</v>
      </c>
      <c r="D12" s="2">
        <v>315950.68245954928</v>
      </c>
      <c r="E12" s="2">
        <v>13.467828282541213</v>
      </c>
      <c r="F12" s="2">
        <v>7.8687779579664462E-3</v>
      </c>
    </row>
    <row r="13" spans="1:9" x14ac:dyDescent="0.25">
      <c r="A13" s="2" t="s">
        <v>18</v>
      </c>
      <c r="B13" s="2">
        <v>5</v>
      </c>
      <c r="C13" s="2">
        <v>117298.303717284</v>
      </c>
      <c r="D13" s="2">
        <v>23459.6607434568</v>
      </c>
      <c r="E13" s="2"/>
      <c r="F13" s="2"/>
    </row>
    <row r="14" spans="1:9" ht="15.75" thickBot="1" x14ac:dyDescent="0.3">
      <c r="A14" s="3" t="s">
        <v>19</v>
      </c>
      <c r="B14" s="3">
        <v>8</v>
      </c>
      <c r="C14" s="3">
        <v>1065150.3510959318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26</v>
      </c>
      <c r="C16" s="4" t="s">
        <v>14</v>
      </c>
      <c r="D16" s="4" t="s">
        <v>27</v>
      </c>
      <c r="E16" s="4" t="s">
        <v>28</v>
      </c>
      <c r="F16" s="4" t="s">
        <v>29</v>
      </c>
      <c r="G16" s="4" t="s">
        <v>30</v>
      </c>
      <c r="H16" s="4" t="s">
        <v>31</v>
      </c>
      <c r="I16" s="4" t="s">
        <v>32</v>
      </c>
    </row>
    <row r="17" spans="1:16" x14ac:dyDescent="0.25">
      <c r="A17" s="2" t="s">
        <v>20</v>
      </c>
      <c r="B17" s="2">
        <v>1077.0619585547042</v>
      </c>
      <c r="C17" s="2">
        <v>51.055156169531003</v>
      </c>
      <c r="D17" s="2">
        <v>21.096046694642755</v>
      </c>
      <c r="E17" s="6">
        <v>4.4350590789764114E-6</v>
      </c>
      <c r="F17" s="2">
        <v>945.82050148973246</v>
      </c>
      <c r="G17" s="2">
        <v>1208.3034156196759</v>
      </c>
      <c r="H17" s="2">
        <v>945.82050148973246</v>
      </c>
      <c r="I17" s="2">
        <v>1208.3034156196759</v>
      </c>
      <c r="K17" s="10" t="s">
        <v>37</v>
      </c>
      <c r="L17" s="10"/>
      <c r="M17" s="10"/>
      <c r="N17" s="10"/>
      <c r="O17" s="10"/>
      <c r="P17" s="10"/>
    </row>
    <row r="18" spans="1:16" x14ac:dyDescent="0.25">
      <c r="A18" s="2" t="s">
        <v>2</v>
      </c>
      <c r="B18" s="2">
        <v>-215.02880553318062</v>
      </c>
      <c r="C18" s="2">
        <v>54.152170713020354</v>
      </c>
      <c r="D18" s="2">
        <v>-3.9708252264295485</v>
      </c>
      <c r="E18" s="6">
        <v>1.0627429174678715E-2</v>
      </c>
      <c r="F18" s="2">
        <v>-354.23139192834753</v>
      </c>
      <c r="G18" s="2">
        <v>-75.82621913801367</v>
      </c>
      <c r="H18" s="2">
        <v>-354.23139192834753</v>
      </c>
      <c r="I18" s="2">
        <v>-75.82621913801367</v>
      </c>
    </row>
    <row r="19" spans="1:16" x14ac:dyDescent="0.25">
      <c r="A19" s="2" t="s">
        <v>3</v>
      </c>
      <c r="B19" s="2">
        <v>59.708667176197281</v>
      </c>
      <c r="C19" s="2">
        <v>54.152170713020354</v>
      </c>
      <c r="D19" s="2">
        <v>1.1026089331233573</v>
      </c>
      <c r="E19" s="8">
        <v>0.32041839302687553</v>
      </c>
      <c r="F19" s="2">
        <v>-79.493919218969666</v>
      </c>
      <c r="G19" s="2">
        <v>198.91125357136423</v>
      </c>
      <c r="H19" s="2">
        <v>-79.493919218969666</v>
      </c>
      <c r="I19" s="2">
        <v>198.91125357136423</v>
      </c>
    </row>
    <row r="20" spans="1:16" ht="15.75" thickBot="1" x14ac:dyDescent="0.3">
      <c r="A20" s="3" t="s">
        <v>4</v>
      </c>
      <c r="B20" s="3">
        <v>262.06677350886474</v>
      </c>
      <c r="C20" s="3">
        <v>54.152170713020354</v>
      </c>
      <c r="D20" s="3">
        <v>4.8394509408992796</v>
      </c>
      <c r="E20" s="7">
        <v>4.7172180678522529E-3</v>
      </c>
      <c r="F20" s="3">
        <v>122.8641871136978</v>
      </c>
      <c r="G20" s="3">
        <v>401.26935990403172</v>
      </c>
      <c r="H20" s="3">
        <v>122.8641871136978</v>
      </c>
      <c r="I20" s="3">
        <v>401.26935990403172</v>
      </c>
    </row>
    <row r="24" spans="1:16" x14ac:dyDescent="0.25">
      <c r="A24" t="s">
        <v>33</v>
      </c>
    </row>
    <row r="25" spans="1:16" ht="15.75" thickBot="1" x14ac:dyDescent="0.3"/>
    <row r="26" spans="1:16" x14ac:dyDescent="0.25">
      <c r="A26" s="4" t="s">
        <v>34</v>
      </c>
      <c r="B26" s="4" t="s">
        <v>36</v>
      </c>
      <c r="C26" s="4" t="s">
        <v>18</v>
      </c>
    </row>
    <row r="27" spans="1:16" x14ac:dyDescent="0.25">
      <c r="A27" s="2">
        <v>1</v>
      </c>
      <c r="B27" s="2">
        <v>1183.8085937065857</v>
      </c>
      <c r="C27" s="2">
        <v>115.34287788798838</v>
      </c>
    </row>
    <row r="28" spans="1:16" x14ac:dyDescent="0.25">
      <c r="A28" s="2">
        <v>2</v>
      </c>
      <c r="B28" s="2">
        <v>659.67504668885613</v>
      </c>
      <c r="C28" s="2">
        <v>4.5281150001618471</v>
      </c>
    </row>
    <row r="29" spans="1:16" x14ac:dyDescent="0.25">
      <c r="A29" s="2">
        <v>3</v>
      </c>
      <c r="B29" s="2">
        <v>1064.3912593541911</v>
      </c>
      <c r="C29" s="2">
        <v>-63.430821194287432</v>
      </c>
    </row>
    <row r="30" spans="1:16" x14ac:dyDescent="0.25">
      <c r="A30" s="2">
        <v>4</v>
      </c>
      <c r="B30" s="2">
        <v>540.25771233646151</v>
      </c>
      <c r="C30" s="2">
        <v>70.705162016108034</v>
      </c>
    </row>
    <row r="31" spans="1:16" x14ac:dyDescent="0.25">
      <c r="A31" s="2">
        <v>5</v>
      </c>
      <c r="B31" s="2">
        <v>1613.866204772947</v>
      </c>
      <c r="C31" s="2">
        <v>-66.26302125156235</v>
      </c>
    </row>
    <row r="32" spans="1:16" x14ac:dyDescent="0.25">
      <c r="A32" s="2">
        <v>6</v>
      </c>
      <c r="B32" s="2">
        <v>1089.7326577552174</v>
      </c>
      <c r="C32" s="2">
        <v>73.537362073383065</v>
      </c>
    </row>
    <row r="33" spans="1:3" x14ac:dyDescent="0.25">
      <c r="A33" s="2">
        <v>7</v>
      </c>
      <c r="B33" s="2">
        <v>1494.4488704205526</v>
      </c>
      <c r="C33" s="2">
        <v>141.49629826783234</v>
      </c>
    </row>
    <row r="34" spans="1:3" x14ac:dyDescent="0.25">
      <c r="A34" s="2">
        <v>8</v>
      </c>
      <c r="B34" s="2">
        <v>970.31532340282297</v>
      </c>
      <c r="C34" s="2">
        <v>-21.625305379682004</v>
      </c>
    </row>
    <row r="35" spans="1:3" ht="15.75" thickBot="1" x14ac:dyDescent="0.3">
      <c r="A35" s="3">
        <v>9</v>
      </c>
      <c r="B35" s="3">
        <v>1077.0619585547042</v>
      </c>
      <c r="C35" s="3">
        <v>-254.29066741994166</v>
      </c>
    </row>
  </sheetData>
  <mergeCells count="1">
    <mergeCell ref="K17:P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41A4-CA2A-448F-97D3-80FD9EB5E141}">
  <dimension ref="A1:N22"/>
  <sheetViews>
    <sheetView tabSelected="1" workbookViewId="0">
      <selection activeCell="C22" sqref="C22:D22"/>
    </sheetView>
  </sheetViews>
  <sheetFormatPr baseColWidth="10" defaultRowHeight="15" x14ac:dyDescent="0.25"/>
  <cols>
    <col min="1" max="1" width="32.85546875" bestFit="1" customWidth="1"/>
    <col min="2" max="2" width="17.7109375" bestFit="1" customWidth="1"/>
    <col min="3" max="3" width="19" bestFit="1" customWidth="1"/>
    <col min="4" max="4" width="25.42578125" bestFit="1" customWidth="1"/>
    <col min="5" max="5" width="12.7109375" bestFit="1" customWidth="1"/>
    <col min="6" max="6" width="15.85546875" bestFit="1" customWidth="1"/>
    <col min="7" max="7" width="12.85546875" bestFit="1" customWidth="1"/>
    <col min="8" max="8" width="13.5703125" bestFit="1" customWidth="1"/>
    <col min="9" max="9" width="14.42578125" bestFit="1" customWidth="1"/>
  </cols>
  <sheetData>
    <row r="1" spans="1:9" x14ac:dyDescent="0.25">
      <c r="A1" t="s">
        <v>9</v>
      </c>
    </row>
    <row r="2" spans="1:9" ht="15.75" thickBot="1" x14ac:dyDescent="0.3"/>
    <row r="3" spans="1:9" x14ac:dyDescent="0.25">
      <c r="A3" s="5" t="s">
        <v>10</v>
      </c>
      <c r="B3" s="5"/>
    </row>
    <row r="4" spans="1:9" x14ac:dyDescent="0.25">
      <c r="A4" s="2" t="s">
        <v>11</v>
      </c>
      <c r="B4" s="2">
        <v>0.92903164280073502</v>
      </c>
    </row>
    <row r="5" spans="1:9" x14ac:dyDescent="0.25">
      <c r="A5" s="2" t="s">
        <v>12</v>
      </c>
      <c r="B5" s="2">
        <v>0.86309979332503262</v>
      </c>
    </row>
    <row r="6" spans="1:9" x14ac:dyDescent="0.25">
      <c r="A6" s="2" t="s">
        <v>13</v>
      </c>
      <c r="B6" s="2">
        <v>0.81746639110004349</v>
      </c>
    </row>
    <row r="7" spans="1:9" x14ac:dyDescent="0.25">
      <c r="A7" s="2" t="s">
        <v>14</v>
      </c>
      <c r="B7" s="2">
        <v>155.89489151612543</v>
      </c>
    </row>
    <row r="8" spans="1:9" ht="15.75" thickBot="1" x14ac:dyDescent="0.3">
      <c r="A8" s="3" t="s">
        <v>15</v>
      </c>
      <c r="B8" s="3">
        <v>9</v>
      </c>
    </row>
    <row r="10" spans="1:9" ht="15.75" thickBot="1" x14ac:dyDescent="0.3">
      <c r="A10" t="s">
        <v>16</v>
      </c>
    </row>
    <row r="11" spans="1:9" x14ac:dyDescent="0.25">
      <c r="A11" s="4"/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25</v>
      </c>
    </row>
    <row r="12" spans="1:9" x14ac:dyDescent="0.25">
      <c r="A12" s="2" t="s">
        <v>17</v>
      </c>
      <c r="B12" s="2">
        <v>2</v>
      </c>
      <c r="C12" s="2">
        <v>919331.04789098469</v>
      </c>
      <c r="D12" s="2">
        <v>459665.52394549234</v>
      </c>
      <c r="E12" s="2">
        <v>18.9137726148412</v>
      </c>
      <c r="F12" s="2">
        <v>2.5657380292824477E-3</v>
      </c>
    </row>
    <row r="13" spans="1:9" x14ac:dyDescent="0.25">
      <c r="A13" s="2" t="s">
        <v>18</v>
      </c>
      <c r="B13" s="2">
        <v>6</v>
      </c>
      <c r="C13" s="2">
        <v>145819.30320494709</v>
      </c>
      <c r="D13" s="2">
        <v>24303.217200824514</v>
      </c>
      <c r="E13" s="2"/>
      <c r="F13" s="2"/>
    </row>
    <row r="14" spans="1:9" ht="15.75" thickBot="1" x14ac:dyDescent="0.3">
      <c r="A14" s="3" t="s">
        <v>19</v>
      </c>
      <c r="B14" s="3">
        <v>8</v>
      </c>
      <c r="C14" s="3">
        <v>1065150.3510959318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26</v>
      </c>
      <c r="C16" s="4" t="s">
        <v>14</v>
      </c>
      <c r="D16" s="4" t="s">
        <v>27</v>
      </c>
      <c r="E16" s="4" t="s">
        <v>28</v>
      </c>
      <c r="F16" s="4" t="s">
        <v>29</v>
      </c>
      <c r="G16" s="4" t="s">
        <v>30</v>
      </c>
      <c r="H16" s="4" t="s">
        <v>31</v>
      </c>
      <c r="I16" s="4" t="s">
        <v>32</v>
      </c>
    </row>
    <row r="17" spans="1:14" x14ac:dyDescent="0.25">
      <c r="A17" s="2" t="s">
        <v>20</v>
      </c>
      <c r="B17" s="2">
        <v>1077.0619585547042</v>
      </c>
      <c r="C17" s="2">
        <v>51.964963838708471</v>
      </c>
      <c r="D17" s="2">
        <v>20.726695045872535</v>
      </c>
      <c r="E17" s="2">
        <v>8.2093464930114272E-7</v>
      </c>
      <c r="F17" s="2">
        <v>949.90827269344868</v>
      </c>
      <c r="G17" s="2">
        <v>1204.2156444159598</v>
      </c>
      <c r="H17" s="2">
        <v>949.90827269344868</v>
      </c>
      <c r="I17" s="2">
        <v>1204.2156444159598</v>
      </c>
      <c r="K17" s="9"/>
      <c r="L17" s="9"/>
      <c r="M17" s="9"/>
      <c r="N17" s="9"/>
    </row>
    <row r="18" spans="1:14" x14ac:dyDescent="0.25">
      <c r="A18" s="2" t="s">
        <v>2</v>
      </c>
      <c r="B18" s="2">
        <v>-215.0288055331807</v>
      </c>
      <c r="C18" s="2">
        <v>55.117167471696725</v>
      </c>
      <c r="D18" s="2">
        <v>-3.9013036300096586</v>
      </c>
      <c r="E18" s="2">
        <v>7.9719679582339192E-3</v>
      </c>
      <c r="F18" s="2">
        <v>-349.89565582121747</v>
      </c>
      <c r="G18" s="2">
        <v>-80.161955245143957</v>
      </c>
      <c r="H18" s="2">
        <v>-349.89565582121747</v>
      </c>
      <c r="I18" s="2">
        <v>-80.161955245143957</v>
      </c>
    </row>
    <row r="19" spans="1:14" ht="15.75" thickBot="1" x14ac:dyDescent="0.3">
      <c r="A19" s="3" t="s">
        <v>4</v>
      </c>
      <c r="B19" s="3">
        <v>262.06677350886491</v>
      </c>
      <c r="C19" s="3">
        <v>55.117167471696725</v>
      </c>
      <c r="D19" s="3">
        <v>4.7547213605169221</v>
      </c>
      <c r="E19" s="3">
        <v>3.1434075306827473E-3</v>
      </c>
      <c r="F19" s="3">
        <v>127.19992322082817</v>
      </c>
      <c r="G19" s="3">
        <v>396.93362379690166</v>
      </c>
      <c r="H19" s="3">
        <v>127.19992322082817</v>
      </c>
      <c r="I19" s="3">
        <v>396.93362379690166</v>
      </c>
    </row>
    <row r="22" spans="1:14" x14ac:dyDescent="0.25">
      <c r="C22" s="10" t="s">
        <v>38</v>
      </c>
      <c r="D22" s="10"/>
    </row>
  </sheetData>
  <mergeCells count="2">
    <mergeCell ref="K17:N17"/>
    <mergeCell ref="C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Simulacion</vt:lpstr>
      <vt:lpstr>Resultado ANOVA y Modelo</vt:lpstr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ANDRES VIJANDI</cp:lastModifiedBy>
  <dcterms:created xsi:type="dcterms:W3CDTF">2026-03-07T15:03:02Z</dcterms:created>
  <dcterms:modified xsi:type="dcterms:W3CDTF">2026-03-07T20:28:54Z</dcterms:modified>
</cp:coreProperties>
</file>